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ute\Downloads\"/>
    </mc:Choice>
  </mc:AlternateContent>
  <xr:revisionPtr revIDLastSave="0" documentId="13_ncr:1_{5DB92DF7-FC4B-4D50-A10C-700C92F89513}" xr6:coauthVersionLast="47" xr6:coauthVersionMax="47" xr10:uidLastSave="{00000000-0000-0000-0000-000000000000}"/>
  <bookViews>
    <workbookView xWindow="-120" yWindow="-120" windowWidth="29040" windowHeight="15840" xr2:uid="{3C3A6583-2882-43A3-8C18-BAAA66CCEB5E}"/>
  </bookViews>
  <sheets>
    <sheet name="RegisterVaccine" sheetId="1" r:id="rId1"/>
    <sheet name="Certificated" sheetId="7" r:id="rId2"/>
    <sheet name="StudentDatabase" sheetId="2" r:id="rId3"/>
    <sheet name="PKU_Form" sheetId="3" r:id="rId4"/>
    <sheet name="HEP Report" sheetId="4" r:id="rId5"/>
    <sheet name="UniversityDatabase" sheetId="5" r:id="rId6"/>
    <sheet name="VaccineDatabase" sheetId="6" r:id="rId7"/>
  </sheets>
  <definedNames>
    <definedName name="serialNumber">VaccineDatabase!$B:$B</definedName>
    <definedName name="vacNo">VaccineDatabase!$B$3:$B$187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/>
  <c r="F6" i="3" s="1"/>
  <c r="F2" i="3"/>
  <c r="F3" i="3"/>
  <c r="F4" i="3" l="1"/>
</calcChain>
</file>

<file path=xl/sharedStrings.xml><?xml version="1.0" encoding="utf-8"?>
<sst xmlns="http://schemas.openxmlformats.org/spreadsheetml/2006/main" count="161" uniqueCount="79">
  <si>
    <t>Name</t>
  </si>
  <si>
    <t>Matric Number</t>
  </si>
  <si>
    <t>Inasis</t>
  </si>
  <si>
    <t>Phone Number</t>
  </si>
  <si>
    <t>IC Number/Passport Number</t>
  </si>
  <si>
    <t xml:space="preserve">REGISTER VACCINE </t>
  </si>
  <si>
    <t>CHECK APPOINTMENT STATUS</t>
  </si>
  <si>
    <t>IC/Passport Number</t>
  </si>
  <si>
    <t>PROTON</t>
  </si>
  <si>
    <t>TRADEWINDS</t>
  </si>
  <si>
    <t>TNB</t>
  </si>
  <si>
    <t>BANK RAKYAT</t>
  </si>
  <si>
    <t>MAS</t>
  </si>
  <si>
    <t>SME BANK</t>
  </si>
  <si>
    <t>GRANTT</t>
  </si>
  <si>
    <t>MAYBANK</t>
  </si>
  <si>
    <t>PETRONAS</t>
  </si>
  <si>
    <t>Number of Records</t>
  </si>
  <si>
    <t>List of Inasis</t>
  </si>
  <si>
    <t>Appointment Date</t>
  </si>
  <si>
    <t>Dr Name List</t>
  </si>
  <si>
    <t>No</t>
  </si>
  <si>
    <t>Full Name</t>
  </si>
  <si>
    <t>Register Date</t>
  </si>
  <si>
    <t>Unregistered List</t>
  </si>
  <si>
    <t>Registered Date</t>
  </si>
  <si>
    <t>:</t>
  </si>
  <si>
    <t>Waiting for Approval</t>
  </si>
  <si>
    <t>Status</t>
  </si>
  <si>
    <t>Number of Pending</t>
  </si>
  <si>
    <t>Number of Approval</t>
  </si>
  <si>
    <t>Vaccine Serial Number</t>
  </si>
  <si>
    <t>Nurse Name</t>
  </si>
  <si>
    <t>Appointment List Student</t>
  </si>
  <si>
    <t xml:space="preserve">Total Number student registered </t>
  </si>
  <si>
    <t>HELMI PUTERA</t>
  </si>
  <si>
    <t>Vaccination Status</t>
  </si>
  <si>
    <t>AZ0001</t>
  </si>
  <si>
    <t>SITI ZUBAIDAH</t>
  </si>
  <si>
    <t>7/12/2021</t>
  </si>
  <si>
    <t/>
  </si>
  <si>
    <t>HILAL</t>
  </si>
  <si>
    <t>AZ0002</t>
  </si>
  <si>
    <t>7/14/2021</t>
  </si>
  <si>
    <t>COMPLETE VACCINATION</t>
  </si>
  <si>
    <t>VACCINATION FORM</t>
  </si>
  <si>
    <t>HELMI</t>
  </si>
  <si>
    <t>IN PROCESS</t>
  </si>
  <si>
    <t>APPOINTMENT/VACCINATION STATUS</t>
  </si>
  <si>
    <t>HEP REPORT</t>
  </si>
  <si>
    <t>Total Number of Student</t>
  </si>
  <si>
    <t>Total Number of Student Complete Vaccination</t>
  </si>
  <si>
    <t>MATRIC NUMBER</t>
  </si>
  <si>
    <t>IC NUMBER/PASSPORT</t>
  </si>
  <si>
    <t>Vaccination Name</t>
  </si>
  <si>
    <t>Vaccination Serial Number</t>
  </si>
  <si>
    <t>Date</t>
  </si>
  <si>
    <t>ASTRAZENECA</t>
  </si>
  <si>
    <t>AZ0003</t>
  </si>
  <si>
    <t>AZ0004</t>
  </si>
  <si>
    <t>AZ0005</t>
  </si>
  <si>
    <t>AZ0006</t>
  </si>
  <si>
    <t>AZ0007</t>
  </si>
  <si>
    <t>AZ0008</t>
  </si>
  <si>
    <t>AZ0009</t>
  </si>
  <si>
    <t>VACCINE STOCK</t>
  </si>
  <si>
    <t>VACCINATION CERTIFICATION</t>
  </si>
  <si>
    <t>NAME</t>
  </si>
  <si>
    <t>HAD COMPLETED VACCINATION PROCESS HELD IN PKU UUM</t>
  </si>
  <si>
    <t>NIEL RONALDO</t>
  </si>
  <si>
    <t>Prepared By:</t>
  </si>
  <si>
    <t xml:space="preserve">HELMI PUTERA NURNASHRIQ BIN AZIZ </t>
  </si>
  <si>
    <t>MOHD. SHAFIQ BIN MOHD. SHAMSUDDIN</t>
  </si>
  <si>
    <t>FINAL PROJECT VBA</t>
  </si>
  <si>
    <t>Prepared For:</t>
  </si>
  <si>
    <t>MOHAMMAD ZUKUWWAN BIN ZAINOL ABIDIN</t>
  </si>
  <si>
    <t>Due Date:</t>
  </si>
  <si>
    <t>14 JULAI 2021</t>
  </si>
  <si>
    <t>173322214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</si>
</sst>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12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color theme="1"/>
      <name val="Times News Roman"/>
    </font>
    <font>
      <b/>
      <sz val="11"/>
      <color rgb="FF000000"/>
      <name val="Times New Roman"/>
      <family val="1"/>
    </font>
    <font>
      <sz val="8"/>
      <name val="Calibri"/>
      <family val="2"/>
      <scheme val="minor"/>
    </font>
    <font>
      <b/>
      <sz val="24"/>
      <color theme="1"/>
      <name val="Aharoni"/>
      <charset val="177"/>
    </font>
    <font>
      <sz val="26"/>
      <color theme="1"/>
      <name val="Times New Roman"/>
      <family val="1"/>
    </font>
    <font>
      <b/>
      <sz val="24"/>
      <color theme="1"/>
      <name val="Amasis MT Pro Black"/>
      <family val="1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5" xfId="0" applyFont="1" applyBorder="1"/>
    <xf numFmtId="15" fontId="1" fillId="0" borderId="6" xfId="0" applyNumberFormat="1" applyFont="1" applyBorder="1" applyAlignment="1">
      <alignment horizontal="center"/>
    </xf>
    <xf numFmtId="0" fontId="1" fillId="0" borderId="7" xfId="0" applyFont="1" applyBorder="1"/>
    <xf numFmtId="15" fontId="1" fillId="0" borderId="8" xfId="0" applyNumberFormat="1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4" fillId="0" borderId="2" xfId="0" applyFont="1" applyBorder="1"/>
    <xf numFmtId="0" fontId="4" fillId="0" borderId="11" xfId="0" applyFont="1" applyBorder="1"/>
    <xf numFmtId="0" fontId="4" fillId="0" borderId="12" xfId="0" applyFont="1" applyBorder="1" applyAlignment="1">
      <alignment horizontal="center"/>
    </xf>
    <xf numFmtId="0" fontId="1" fillId="0" borderId="3" xfId="0" applyFont="1" applyBorder="1"/>
    <xf numFmtId="15" fontId="1" fillId="0" borderId="4" xfId="0" applyNumberFormat="1" applyFont="1" applyBorder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4" fillId="0" borderId="0" xfId="0" applyNumberFormat="1" applyFont="1"/>
    <xf numFmtId="49" fontId="1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2" fillId="0" borderId="3" xfId="0" applyFont="1" applyBorder="1"/>
    <xf numFmtId="0" fontId="2" fillId="0" borderId="1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4" xfId="0" applyFont="1" applyBorder="1"/>
    <xf numFmtId="0" fontId="2" fillId="0" borderId="14" xfId="0" applyFont="1" applyBorder="1"/>
    <xf numFmtId="0" fontId="6" fillId="0" borderId="0" xfId="0" applyFont="1"/>
    <xf numFmtId="1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2" borderId="5" xfId="0" applyFont="1" applyFill="1" applyBorder="1"/>
    <xf numFmtId="0" fontId="2" fillId="2" borderId="0" xfId="0" applyFont="1" applyFill="1" applyBorder="1"/>
    <xf numFmtId="0" fontId="2" fillId="2" borderId="6" xfId="0" applyFont="1" applyFill="1" applyBorder="1"/>
    <xf numFmtId="0" fontId="3" fillId="2" borderId="0" xfId="0" applyFont="1" applyFill="1" applyBorder="1" applyAlignment="1">
      <alignment horizontal="left" vertical="center"/>
    </xf>
    <xf numFmtId="0" fontId="2" fillId="2" borderId="7" xfId="0" applyFont="1" applyFill="1" applyBorder="1"/>
    <xf numFmtId="0" fontId="2" fillId="2" borderId="14" xfId="0" applyFont="1" applyFill="1" applyBorder="1"/>
    <xf numFmtId="0" fontId="2" fillId="2" borderId="8" xfId="0" applyFont="1" applyFill="1" applyBorder="1"/>
    <xf numFmtId="0" fontId="3" fillId="2" borderId="0" xfId="0" applyFont="1" applyFill="1" applyBorder="1"/>
    <xf numFmtId="0" fontId="3" fillId="0" borderId="13" xfId="0" applyFont="1" applyBorder="1"/>
    <xf numFmtId="0" fontId="2" fillId="4" borderId="3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3" fillId="4" borderId="6" xfId="0" applyFont="1" applyFill="1" applyBorder="1"/>
    <xf numFmtId="0" fontId="3" fillId="4" borderId="5" xfId="0" applyFont="1" applyFill="1" applyBorder="1"/>
    <xf numFmtId="0" fontId="3" fillId="4" borderId="0" xfId="0" applyFont="1" applyFill="1" applyBorder="1"/>
    <xf numFmtId="0" fontId="2" fillId="4" borderId="6" xfId="0" applyFont="1" applyFill="1" applyBorder="1"/>
    <xf numFmtId="0" fontId="3" fillId="4" borderId="5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/>
    </xf>
    <xf numFmtId="0" fontId="2" fillId="4" borderId="7" xfId="0" applyFont="1" applyFill="1" applyBorder="1"/>
    <xf numFmtId="0" fontId="3" fillId="4" borderId="14" xfId="0" applyFont="1" applyFill="1" applyBorder="1" applyAlignment="1">
      <alignment horizontal="left"/>
    </xf>
    <xf numFmtId="0" fontId="2" fillId="4" borderId="8" xfId="0" applyFont="1" applyFill="1" applyBorder="1"/>
    <xf numFmtId="0" fontId="2" fillId="4" borderId="13" xfId="0" applyFont="1" applyFill="1" applyBorder="1" applyAlignment="1">
      <alignment horizontal="left"/>
    </xf>
    <xf numFmtId="0" fontId="2" fillId="4" borderId="4" xfId="0" applyFont="1" applyFill="1" applyBorder="1"/>
    <xf numFmtId="0" fontId="3" fillId="4" borderId="0" xfId="0" applyFont="1" applyFill="1" applyBorder="1" applyAlignment="1">
      <alignment horizontal="left"/>
    </xf>
    <xf numFmtId="0" fontId="2" fillId="4" borderId="14" xfId="0" applyFont="1" applyFill="1" applyBorder="1"/>
    <xf numFmtId="0" fontId="2" fillId="3" borderId="3" xfId="0" applyFont="1" applyFill="1" applyBorder="1"/>
    <xf numFmtId="0" fontId="2" fillId="3" borderId="13" xfId="0" applyFont="1" applyFill="1" applyBorder="1"/>
    <xf numFmtId="0" fontId="3" fillId="3" borderId="4" xfId="0" applyFont="1" applyFill="1" applyBorder="1"/>
    <xf numFmtId="0" fontId="3" fillId="4" borderId="0" xfId="0" applyFont="1" applyFill="1" applyBorder="1" applyProtection="1">
      <protection locked="0"/>
    </xf>
    <xf numFmtId="0" fontId="2" fillId="4" borderId="5" xfId="0" applyFont="1" applyFill="1" applyBorder="1" applyProtection="1">
      <protection locked="0"/>
    </xf>
    <xf numFmtId="0" fontId="2" fillId="4" borderId="0" xfId="0" applyFont="1" applyFill="1" applyBorder="1" applyProtection="1">
      <protection locked="0"/>
    </xf>
    <xf numFmtId="0" fontId="3" fillId="4" borderId="5" xfId="0" applyFont="1" applyFill="1" applyBorder="1" applyProtection="1">
      <protection locked="0"/>
    </xf>
    <xf numFmtId="0" fontId="2" fillId="3" borderId="4" xfId="0" applyFont="1" applyFill="1" applyBorder="1"/>
    <xf numFmtId="0" fontId="3" fillId="3" borderId="3" xfId="0" applyFont="1" applyFill="1" applyBorder="1" applyAlignment="1">
      <alignment horizontal="center"/>
    </xf>
    <xf numFmtId="0" fontId="2" fillId="3" borderId="1" xfId="0" applyFont="1" applyFill="1" applyBorder="1" applyAlignment="1" applyProtection="1">
      <alignment horizontal="left"/>
      <protection locked="0"/>
    </xf>
    <xf numFmtId="1" fontId="2" fillId="3" borderId="1" xfId="0" applyNumberFormat="1" applyFont="1" applyFill="1" applyBorder="1" applyAlignment="1" applyProtection="1">
      <alignment horizontal="left"/>
      <protection locked="0"/>
    </xf>
    <xf numFmtId="0" fontId="3" fillId="4" borderId="5" xfId="0" applyFont="1" applyFill="1" applyBorder="1" applyAlignment="1" applyProtection="1">
      <alignment horizontal="left" vertical="center"/>
    </xf>
    <xf numFmtId="0" fontId="3" fillId="4" borderId="0" xfId="0" applyFont="1" applyFill="1" applyBorder="1" applyProtection="1"/>
    <xf numFmtId="0" fontId="2" fillId="3" borderId="1" xfId="0" applyFont="1" applyFill="1" applyBorder="1" applyAlignment="1" applyProtection="1">
      <alignment horizontal="left"/>
    </xf>
    <xf numFmtId="0" fontId="2" fillId="4" borderId="0" xfId="0" applyFont="1" applyFill="1" applyBorder="1" applyAlignment="1" applyProtection="1">
      <alignment horizontal="left"/>
    </xf>
    <xf numFmtId="1" fontId="2" fillId="3" borderId="1" xfId="0" applyNumberFormat="1" applyFont="1" applyFill="1" applyBorder="1" applyAlignment="1" applyProtection="1">
      <alignment horizontal="left"/>
    </xf>
    <xf numFmtId="49" fontId="2" fillId="3" borderId="1" xfId="0" applyNumberFormat="1" applyFont="1" applyFill="1" applyBorder="1" applyAlignment="1" applyProtection="1">
      <alignment horizontal="left"/>
    </xf>
    <xf numFmtId="0" fontId="2" fillId="4" borderId="5" xfId="0" applyFont="1" applyFill="1" applyBorder="1" applyProtection="1"/>
    <xf numFmtId="0" fontId="3" fillId="4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3" fillId="4" borderId="5" xfId="0" applyFont="1" applyFill="1" applyBorder="1" applyProtection="1"/>
    <xf numFmtId="14" fontId="2" fillId="3" borderId="1" xfId="0" applyNumberFormat="1" applyFont="1" applyFill="1" applyBorder="1" applyAlignment="1" applyProtection="1">
      <alignment horizontal="left"/>
    </xf>
    <xf numFmtId="0" fontId="2" fillId="3" borderId="1" xfId="0" applyFont="1" applyFill="1" applyBorder="1" applyProtection="1"/>
    <xf numFmtId="0" fontId="2" fillId="3" borderId="1" xfId="0" applyNumberFormat="1" applyFont="1" applyFill="1" applyBorder="1" applyAlignment="1" applyProtection="1">
      <alignment horizontal="left"/>
      <protection locked="0"/>
    </xf>
    <xf numFmtId="1" fontId="3" fillId="3" borderId="15" xfId="0" applyNumberFormat="1" applyFont="1" applyFill="1" applyBorder="1" applyAlignment="1" applyProtection="1">
      <alignment horizontal="left"/>
    </xf>
    <xf numFmtId="14" fontId="2" fillId="3" borderId="15" xfId="0" applyNumberFormat="1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1" fontId="2" fillId="3" borderId="15" xfId="0" applyNumberFormat="1" applyFont="1" applyFill="1" applyBorder="1" applyAlignment="1" applyProtection="1">
      <alignment horizontal="left"/>
    </xf>
    <xf numFmtId="49" fontId="2" fillId="3" borderId="15" xfId="0" applyNumberFormat="1" applyFont="1" applyFill="1" applyBorder="1" applyAlignment="1" applyProtection="1">
      <alignment horizontal="left"/>
    </xf>
    <xf numFmtId="14" fontId="2" fillId="3" borderId="15" xfId="0" applyNumberFormat="1" applyFont="1" applyFill="1" applyBorder="1" applyAlignment="1" applyProtection="1">
      <alignment horizontal="left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0" xfId="0" applyFont="1" applyFill="1" applyBorder="1" applyProtection="1"/>
    <xf numFmtId="0" fontId="6" fillId="3" borderId="0" xfId="0" applyFont="1" applyFill="1" applyProtection="1"/>
    <xf numFmtId="164" fontId="6" fillId="3" borderId="0" xfId="0" applyNumberFormat="1" applyFont="1" applyFill="1" applyAlignment="1" applyProtection="1">
      <alignment horizontal="left"/>
    </xf>
    <xf numFmtId="22" fontId="2" fillId="0" borderId="0" xfId="0" applyNumberFormat="1" applyFont="1"/>
    <xf numFmtId="18" fontId="2" fillId="0" borderId="0" xfId="0" applyNumberFormat="1" applyFont="1"/>
    <xf numFmtId="0" fontId="9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left"/>
    </xf>
    <xf numFmtId="14" fontId="2" fillId="0" borderId="0" xfId="0" applyNumberFormat="1" applyFont="1"/>
    <xf numFmtId="0" fontId="2" fillId="3" borderId="15" xfId="0" applyFont="1" applyFill="1" applyBorder="1"/>
    <xf numFmtId="0" fontId="3" fillId="0" borderId="0" xfId="0" applyFont="1"/>
    <xf numFmtId="0" fontId="2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VACCINATION</a:t>
            </a:r>
            <a:r>
              <a:rPr lang="en-MY" baseline="0"/>
              <a:t> RECORD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16C-4733-BD00-2C71B775E2C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16C-4733-BD00-2C71B775E2C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PKU_Form!$E$2:$E$3</c:f>
              <c:strCache>
                <c:ptCount val="2"/>
                <c:pt idx="0">
                  <c:v>Number of Pending</c:v>
                </c:pt>
                <c:pt idx="1">
                  <c:v>Number of Approval</c:v>
                </c:pt>
              </c:strCache>
            </c:strRef>
          </c:cat>
          <c:val>
            <c:numRef>
              <c:f>PKU_Form!$F$2:$F$3</c:f>
              <c:numCache>
                <c:formatCode>@</c:formatCode>
                <c:ptCount val="2"/>
                <c:pt idx="0" formatCode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6-4738-9566-DE51F26A328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Total Number of Student</a:t>
            </a:r>
            <a:r>
              <a:rPr lang="en-MY" baseline="0"/>
              <a:t> Complete Vaccination</a:t>
            </a:r>
            <a:endParaRPr lang="en-MY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4A-425D-9EA8-6A736B9A3D1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4A-425D-9EA8-6A736B9A3D1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(PKU_Form!$E$6,PKU_Form!$E$8)</c:f>
              <c:strCache>
                <c:ptCount val="2"/>
                <c:pt idx="0">
                  <c:v>Total Number of Student Complete Vaccination</c:v>
                </c:pt>
                <c:pt idx="1">
                  <c:v>Total Number of Student</c:v>
                </c:pt>
              </c:strCache>
            </c:strRef>
          </c:cat>
          <c:val>
            <c:numRef>
              <c:f>(PKU_Form!$F$6,PKU_Form!$F$8)</c:f>
              <c:numCache>
                <c:formatCode>General</c:formatCode>
                <c:ptCount val="2"/>
                <c:pt idx="0">
                  <c:v>2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7-4452-98DF-2E9BBF519F2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$C$10" fmlaRange="UniversityDatabase!$A$4:$A$12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38100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1857375</xdr:colOff>
          <xdr:row>13</xdr:row>
          <xdr:rowOff>38100</xdr:rowOff>
        </xdr:from>
        <xdr:to>
          <xdr:col>2</xdr:col>
          <xdr:colOff>2847975</xdr:colOff>
          <xdr:row>14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25</xdr:row>
          <xdr:rowOff>180975</xdr:rowOff>
        </xdr:from>
        <xdr:to>
          <xdr:col>2</xdr:col>
          <xdr:colOff>1695450</xdr:colOff>
          <xdr:row>27</xdr:row>
          <xdr:rowOff>76200</xdr:rowOff>
        </xdr:to>
        <xdr:sp macro="" textlink="">
          <xdr:nvSpPr>
            <xdr:cNvPr id="1031" name="resetBt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2819400</xdr:colOff>
      <xdr:row>0</xdr:row>
      <xdr:rowOff>21830</xdr:rowOff>
    </xdr:from>
    <xdr:to>
      <xdr:col>4</xdr:col>
      <xdr:colOff>533400</xdr:colOff>
      <xdr:row>2</xdr:row>
      <xdr:rowOff>154704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21830"/>
          <a:ext cx="1190625" cy="53292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25</xdr:row>
      <xdr:rowOff>59930</xdr:rowOff>
    </xdr:from>
    <xdr:to>
      <xdr:col>1</xdr:col>
      <xdr:colOff>1238250</xdr:colOff>
      <xdr:row>27</xdr:row>
      <xdr:rowOff>192804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4022330"/>
          <a:ext cx="1190625" cy="5329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36</xdr:row>
          <xdr:rowOff>66675</xdr:rowOff>
        </xdr:from>
        <xdr:to>
          <xdr:col>2</xdr:col>
          <xdr:colOff>2847975</xdr:colOff>
          <xdr:row>36</xdr:row>
          <xdr:rowOff>371475</xdr:rowOff>
        </xdr:to>
        <xdr:sp macro="" textlink="">
          <xdr:nvSpPr>
            <xdr:cNvPr id="1035" name="printBt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25</xdr:row>
          <xdr:rowOff>180975</xdr:rowOff>
        </xdr:from>
        <xdr:to>
          <xdr:col>2</xdr:col>
          <xdr:colOff>2838450</xdr:colOff>
          <xdr:row>27</xdr:row>
          <xdr:rowOff>85725</xdr:rowOff>
        </xdr:to>
        <xdr:sp macro="" textlink="">
          <xdr:nvSpPr>
            <xdr:cNvPr id="1036" name="check1Bt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790575</xdr:colOff>
      <xdr:row>1</xdr:row>
      <xdr:rowOff>161925</xdr:rowOff>
    </xdr:from>
    <xdr:to>
      <xdr:col>10</xdr:col>
      <xdr:colOff>2559411</xdr:colOff>
      <xdr:row>7</xdr:row>
      <xdr:rowOff>173754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7425" y="419100"/>
          <a:ext cx="3473811" cy="1554879"/>
        </a:xfrm>
        <a:prstGeom prst="rect">
          <a:avLst/>
        </a:prstGeom>
      </xdr:spPr>
    </xdr:pic>
    <xdr:clientData/>
  </xdr:twoCellAnchor>
  <xdr:twoCellAnchor>
    <xdr:from>
      <xdr:col>10</xdr:col>
      <xdr:colOff>2362200</xdr:colOff>
      <xdr:row>17</xdr:row>
      <xdr:rowOff>228599</xdr:rowOff>
    </xdr:from>
    <xdr:to>
      <xdr:col>11</xdr:col>
      <xdr:colOff>219075</xdr:colOff>
      <xdr:row>22</xdr:row>
      <xdr:rowOff>180975</xdr:rowOff>
    </xdr:to>
    <xdr:sp macro="" textlink="">
      <xdr:nvSpPr>
        <xdr:cNvPr id="4" name="Star: 10 Point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344025" y="4895849"/>
          <a:ext cx="1390650" cy="1238251"/>
        </a:xfrm>
        <a:prstGeom prst="star10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 b="1">
              <a:solidFill>
                <a:srgbClr val="FFFF00"/>
              </a:solidFill>
              <a:effectLst>
                <a:glow rad="228600">
                  <a:schemeClr val="accent4">
                    <a:satMod val="175000"/>
                    <a:alpha val="40000"/>
                  </a:schemeClr>
                </a:glow>
              </a:effectLst>
              <a:latin typeface="Aharoni" panose="02010803020104030203" pitchFamily="2" charset="-79"/>
              <a:cs typeface="Aharoni" panose="02010803020104030203" pitchFamily="2" charset="-79"/>
            </a:rPr>
            <a:t>CERTIFICATE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2047875</xdr:colOff>
          <xdr:row>22</xdr:row>
          <xdr:rowOff>9525</xdr:rowOff>
        </xdr:from>
        <xdr:to>
          <xdr:col>2</xdr:col>
          <xdr:colOff>3076575</xdr:colOff>
          <xdr:row>23</xdr:row>
          <xdr:rowOff>133350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2038350</xdr:colOff>
          <xdr:row>14</xdr:row>
          <xdr:rowOff>85725</xdr:rowOff>
        </xdr:from>
        <xdr:to>
          <xdr:col>2</xdr:col>
          <xdr:colOff>3162300</xdr:colOff>
          <xdr:row>14</xdr:row>
          <xdr:rowOff>419100</xdr:rowOff>
        </xdr:to>
        <xdr:sp macro="" textlink="">
          <xdr:nvSpPr>
            <xdr:cNvPr id="3080" name="nextBt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</xdr:row>
          <xdr:rowOff>219075</xdr:rowOff>
        </xdr:from>
        <xdr:to>
          <xdr:col>11</xdr:col>
          <xdr:colOff>1323975</xdr:colOff>
          <xdr:row>6</xdr:row>
          <xdr:rowOff>9525</xdr:rowOff>
        </xdr:to>
        <xdr:sp macro="" textlink="">
          <xdr:nvSpPr>
            <xdr:cNvPr id="3084" name="searchBtn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23</xdr:row>
          <xdr:rowOff>9525</xdr:rowOff>
        </xdr:from>
        <xdr:to>
          <xdr:col>11</xdr:col>
          <xdr:colOff>1343025</xdr:colOff>
          <xdr:row>23</xdr:row>
          <xdr:rowOff>447675</xdr:rowOff>
        </xdr:to>
        <xdr:sp macro="" textlink="">
          <xdr:nvSpPr>
            <xdr:cNvPr id="3085" name="confirmBtn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20</xdr:row>
          <xdr:rowOff>38100</xdr:rowOff>
        </xdr:from>
        <xdr:to>
          <xdr:col>11</xdr:col>
          <xdr:colOff>1323975</xdr:colOff>
          <xdr:row>22</xdr:row>
          <xdr:rowOff>104775</xdr:rowOff>
        </xdr:to>
        <xdr:sp macro="" textlink="">
          <xdr:nvSpPr>
            <xdr:cNvPr id="3086" name="reset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121426</xdr:colOff>
      <xdr:row>6</xdr:row>
      <xdr:rowOff>38100</xdr:rowOff>
    </xdr:from>
    <xdr:to>
      <xdr:col>11</xdr:col>
      <xdr:colOff>1270340</xdr:colOff>
      <xdr:row>9</xdr:row>
      <xdr:rowOff>142779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5276" y="1323975"/>
          <a:ext cx="1148914" cy="514254"/>
        </a:xfrm>
        <a:prstGeom prst="rect">
          <a:avLst/>
        </a:prstGeom>
      </xdr:spPr>
    </xdr:pic>
    <xdr:clientData/>
  </xdr:twoCellAnchor>
  <xdr:twoCellAnchor editAs="oneCell">
    <xdr:from>
      <xdr:col>0</xdr:col>
      <xdr:colOff>121426</xdr:colOff>
      <xdr:row>22</xdr:row>
      <xdr:rowOff>9525</xdr:rowOff>
    </xdr:from>
    <xdr:to>
      <xdr:col>2</xdr:col>
      <xdr:colOff>485775</xdr:colOff>
      <xdr:row>24</xdr:row>
      <xdr:rowOff>186358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26" y="4219575"/>
          <a:ext cx="2374124" cy="1062658"/>
        </a:xfrm>
        <a:prstGeom prst="rect">
          <a:avLst/>
        </a:prstGeom>
      </xdr:spPr>
    </xdr:pic>
    <xdr:clientData/>
  </xdr:twoCellAnchor>
  <xdr:twoCellAnchor editAs="oneCell">
    <xdr:from>
      <xdr:col>11</xdr:col>
      <xdr:colOff>333376</xdr:colOff>
      <xdr:row>13</xdr:row>
      <xdr:rowOff>171450</xdr:rowOff>
    </xdr:from>
    <xdr:to>
      <xdr:col>11</xdr:col>
      <xdr:colOff>1128285</xdr:colOff>
      <xdr:row>16</xdr:row>
      <xdr:rowOff>171849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97226" y="2514600"/>
          <a:ext cx="794909" cy="867174"/>
        </a:xfrm>
        <a:prstGeom prst="rect">
          <a:avLst/>
        </a:prstGeom>
      </xdr:spPr>
    </xdr:pic>
    <xdr:clientData/>
  </xdr:twoCellAnchor>
  <xdr:twoCellAnchor editAs="oneCell">
    <xdr:from>
      <xdr:col>2</xdr:col>
      <xdr:colOff>990601</xdr:colOff>
      <xdr:row>22</xdr:row>
      <xdr:rowOff>66675</xdr:rowOff>
    </xdr:from>
    <xdr:to>
      <xdr:col>2</xdr:col>
      <xdr:colOff>1785510</xdr:colOff>
      <xdr:row>24</xdr:row>
      <xdr:rowOff>48024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0376" y="4276725"/>
          <a:ext cx="794909" cy="8671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252411</xdr:colOff>
      <xdr:row>3</xdr:row>
      <xdr:rowOff>61912</xdr:rowOff>
    </xdr:from>
    <xdr:to>
      <xdr:col>5</xdr:col>
      <xdr:colOff>476249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552450</xdr:colOff>
      <xdr:row>3</xdr:row>
      <xdr:rowOff>66675</xdr:rowOff>
    </xdr:from>
    <xdr:to>
      <xdr:col>16</xdr:col>
      <xdr:colOff>200025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5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44B68-472E-4E61-A206-EEB4739C8135}">
  <sheetPr codeName="Sheet1"/>
  <dimension ref="A1:L40"/>
  <sheetViews>
    <sheetView showGridLines="0" tabSelected="1" zoomScaleNormal="100" workbookViewId="0">
      <selection activeCell="K19" sqref="K19"/>
    </sheetView>
  </sheetViews>
  <sheetFormatPr defaultRowHeight="15.75"/>
  <cols>
    <col min="1" max="1" width="9.140625" style="2"/>
    <col min="2" max="2" width="30.28515625" style="2" customWidth="1"/>
    <col min="3" max="3" width="43" style="2" customWidth="1"/>
    <col min="4" max="9" width="9.140625" style="2"/>
    <col min="10" max="10" width="14.42578125" style="2" customWidth="1"/>
    <col min="11" max="11" width="16.7109375" style="2" customWidth="1"/>
    <col min="12" max="12" width="66.140625" style="2" customWidth="1"/>
    <col min="13" max="16384" width="9.140625" style="2"/>
  </cols>
  <sheetData>
    <row r="1" spans="1:12">
      <c r="A1" s="26"/>
      <c r="B1" s="27"/>
      <c r="C1" s="27"/>
      <c r="D1" s="27"/>
      <c r="E1" s="32"/>
    </row>
    <row r="2" spans="1:12">
      <c r="A2" s="28"/>
      <c r="B2" s="4" t="s">
        <v>5</v>
      </c>
      <c r="C2" s="3"/>
      <c r="D2" s="3"/>
      <c r="E2" s="29"/>
      <c r="J2" s="107" t="s">
        <v>73</v>
      </c>
    </row>
    <row r="3" spans="1:12">
      <c r="A3" s="40"/>
      <c r="B3" s="41"/>
      <c r="C3" s="41"/>
      <c r="D3" s="41"/>
      <c r="E3" s="42"/>
      <c r="J3" s="107" t="s">
        <v>70</v>
      </c>
      <c r="K3" s="103">
        <v>265528</v>
      </c>
      <c r="L3" s="108" t="s">
        <v>71</v>
      </c>
    </row>
    <row r="4" spans="1:12">
      <c r="A4" s="40"/>
      <c r="B4" s="43" t="s">
        <v>22</v>
      </c>
      <c r="C4" s="74"/>
      <c r="D4" s="41"/>
      <c r="E4" s="42"/>
      <c r="K4" s="103">
        <v>256831</v>
      </c>
      <c r="L4" s="108" t="s">
        <v>72</v>
      </c>
    </row>
    <row r="5" spans="1:12" ht="3.75" customHeight="1">
      <c r="A5" s="40"/>
      <c r="B5" s="43"/>
      <c r="C5" s="41"/>
      <c r="D5" s="41"/>
      <c r="E5" s="42"/>
    </row>
    <row r="6" spans="1:12">
      <c r="A6" s="40"/>
      <c r="B6" s="43" t="s">
        <v>4</v>
      </c>
      <c r="C6" s="75"/>
      <c r="D6" s="41"/>
      <c r="E6" s="42"/>
    </row>
    <row r="7" spans="1:12" ht="3.75" customHeight="1">
      <c r="A7" s="40"/>
      <c r="B7" s="43"/>
      <c r="C7" s="41">
        <v>1</v>
      </c>
      <c r="D7" s="41"/>
      <c r="E7" s="42"/>
    </row>
    <row r="8" spans="1:12">
      <c r="A8" s="40"/>
      <c r="B8" s="43" t="s">
        <v>1</v>
      </c>
      <c r="C8" s="75"/>
      <c r="D8" s="41"/>
      <c r="E8" s="42"/>
    </row>
    <row r="9" spans="1:12" ht="3.75" customHeight="1">
      <c r="A9" s="40"/>
      <c r="B9" s="43"/>
      <c r="C9" s="41"/>
      <c r="D9" s="41"/>
      <c r="E9" s="42"/>
    </row>
    <row r="10" spans="1:12">
      <c r="A10" s="40"/>
      <c r="B10" s="43" t="s">
        <v>2</v>
      </c>
      <c r="C10" s="41"/>
      <c r="D10" s="41"/>
      <c r="E10" s="42"/>
      <c r="J10" s="107" t="s">
        <v>74</v>
      </c>
      <c r="L10" s="2" t="s">
        <v>75</v>
      </c>
    </row>
    <row r="11" spans="1:12" ht="3.75" customHeight="1">
      <c r="A11" s="40"/>
      <c r="B11" s="43"/>
      <c r="C11" s="41"/>
      <c r="D11" s="41"/>
      <c r="E11" s="42"/>
    </row>
    <row r="12" spans="1:12">
      <c r="A12" s="40"/>
      <c r="B12" s="43" t="s">
        <v>3</v>
      </c>
      <c r="C12" s="74"/>
      <c r="D12" s="41"/>
      <c r="E12" s="42"/>
    </row>
    <row r="13" spans="1:12" ht="3.75" customHeight="1">
      <c r="A13" s="40"/>
      <c r="B13" s="41"/>
      <c r="C13" s="41"/>
      <c r="D13" s="41"/>
      <c r="E13" s="42"/>
    </row>
    <row r="14" spans="1:12">
      <c r="A14" s="40"/>
      <c r="B14" s="41"/>
      <c r="C14" s="41"/>
      <c r="D14" s="41"/>
      <c r="E14" s="42"/>
    </row>
    <row r="15" spans="1:12">
      <c r="A15" s="40"/>
      <c r="B15" s="41"/>
      <c r="C15" s="41"/>
      <c r="D15" s="41"/>
      <c r="E15" s="42"/>
      <c r="J15" s="107" t="s">
        <v>76</v>
      </c>
      <c r="K15" s="2" t="s">
        <v>77</v>
      </c>
    </row>
    <row r="16" spans="1:12">
      <c r="A16" s="40"/>
      <c r="B16" s="41"/>
      <c r="C16" s="41"/>
      <c r="D16" s="41"/>
      <c r="E16" s="42"/>
    </row>
    <row r="17" spans="1:12" ht="16.5" thickBot="1">
      <c r="A17" s="44"/>
      <c r="B17" s="45"/>
      <c r="C17" s="45"/>
      <c r="D17" s="45"/>
      <c r="E17" s="46"/>
      <c r="K17" s="102"/>
    </row>
    <row r="18" spans="1:12">
      <c r="K18" s="110"/>
      <c r="L18" s="110"/>
    </row>
    <row r="19" spans="1:12" ht="16.5" thickBot="1">
      <c r="D19" s="3"/>
      <c r="K19" s="102"/>
    </row>
    <row r="20" spans="1:12" ht="28.5" customHeight="1">
      <c r="A20" s="26"/>
      <c r="B20" s="48" t="s">
        <v>48</v>
      </c>
      <c r="C20" s="27"/>
      <c r="D20" s="27"/>
      <c r="E20" s="32"/>
      <c r="K20" s="109"/>
      <c r="L20" s="109"/>
    </row>
    <row r="21" spans="1:12" ht="3.75" customHeight="1">
      <c r="A21" s="28"/>
      <c r="B21" s="3" t="s">
        <v>6</v>
      </c>
      <c r="C21" s="3"/>
      <c r="D21" s="3"/>
      <c r="E21" s="29"/>
      <c r="K21" s="102"/>
    </row>
    <row r="22" spans="1:12">
      <c r="A22" s="40"/>
      <c r="B22" s="41"/>
      <c r="C22" s="41"/>
      <c r="D22" s="41"/>
      <c r="E22" s="42"/>
      <c r="L22" s="104"/>
    </row>
    <row r="23" spans="1:12">
      <c r="A23" s="40"/>
      <c r="B23" s="47" t="s">
        <v>4</v>
      </c>
      <c r="C23" s="75"/>
      <c r="D23" s="41"/>
      <c r="E23" s="42"/>
      <c r="K23" s="102"/>
      <c r="L23" s="104"/>
    </row>
    <row r="24" spans="1:12" ht="4.5" customHeight="1">
      <c r="A24" s="40"/>
      <c r="B24" s="47"/>
      <c r="C24" s="41"/>
      <c r="D24" s="41"/>
      <c r="E24" s="42"/>
      <c r="K24" s="102"/>
    </row>
    <row r="25" spans="1:12">
      <c r="A25" s="40"/>
      <c r="B25" s="47" t="s">
        <v>1</v>
      </c>
      <c r="C25" s="75"/>
      <c r="D25" s="41"/>
      <c r="E25" s="42"/>
      <c r="K25" s="102"/>
    </row>
    <row r="26" spans="1:12">
      <c r="A26" s="40"/>
      <c r="B26" s="41"/>
      <c r="C26" s="41"/>
      <c r="D26" s="41"/>
      <c r="E26" s="42"/>
      <c r="J26" s="110"/>
      <c r="K26" s="110"/>
      <c r="L26" s="110"/>
    </row>
    <row r="27" spans="1:12">
      <c r="A27" s="40"/>
      <c r="B27" s="41"/>
      <c r="C27" s="41"/>
      <c r="D27" s="41"/>
      <c r="E27" s="42"/>
      <c r="J27" s="110"/>
      <c r="K27" s="110"/>
      <c r="L27" s="110"/>
    </row>
    <row r="28" spans="1:12">
      <c r="A28" s="40"/>
      <c r="B28" s="41"/>
      <c r="C28" s="41"/>
      <c r="D28" s="41"/>
      <c r="E28" s="42"/>
      <c r="K28" s="102"/>
    </row>
    <row r="29" spans="1:12">
      <c r="A29" s="40"/>
      <c r="B29" s="96"/>
      <c r="C29" s="96"/>
      <c r="D29" s="41"/>
      <c r="E29" s="42"/>
      <c r="K29" s="102"/>
    </row>
    <row r="30" spans="1:12">
      <c r="A30" s="40"/>
      <c r="B30" s="34"/>
      <c r="C30" s="35"/>
      <c r="D30" s="41"/>
      <c r="E30" s="42"/>
      <c r="K30" s="102"/>
    </row>
    <row r="31" spans="1:12">
      <c r="A31" s="40"/>
      <c r="B31" s="34"/>
      <c r="C31" s="35"/>
      <c r="D31" s="41"/>
      <c r="E31" s="42"/>
      <c r="K31" s="102"/>
    </row>
    <row r="32" spans="1:12">
      <c r="A32" s="40"/>
      <c r="B32" s="34"/>
      <c r="C32" s="36"/>
      <c r="D32" s="41"/>
      <c r="E32" s="42"/>
      <c r="K32" s="102"/>
    </row>
    <row r="33" spans="1:11">
      <c r="A33" s="40"/>
      <c r="B33" s="34"/>
      <c r="C33" s="34"/>
      <c r="D33" s="41"/>
      <c r="E33" s="42"/>
      <c r="K33" s="102"/>
    </row>
    <row r="34" spans="1:11">
      <c r="A34" s="40"/>
      <c r="B34" s="97"/>
      <c r="C34" s="98"/>
      <c r="D34" s="41"/>
      <c r="E34" s="42"/>
      <c r="K34" s="102"/>
    </row>
    <row r="35" spans="1:11">
      <c r="A35" s="40"/>
      <c r="B35" s="96"/>
      <c r="C35" s="96"/>
      <c r="D35" s="41"/>
      <c r="E35" s="42"/>
      <c r="K35" s="102"/>
    </row>
    <row r="36" spans="1:11">
      <c r="A36" s="40"/>
      <c r="B36" s="96"/>
      <c r="C36" s="96"/>
      <c r="D36" s="41"/>
      <c r="E36" s="42"/>
      <c r="K36" s="102"/>
    </row>
    <row r="37" spans="1:11" ht="33" customHeight="1" thickBot="1">
      <c r="A37" s="44"/>
      <c r="B37" s="45"/>
      <c r="C37" s="45"/>
      <c r="D37" s="45"/>
      <c r="E37" s="46"/>
      <c r="K37" s="102"/>
    </row>
    <row r="38" spans="1:11">
      <c r="K38" s="102"/>
    </row>
    <row r="39" spans="1:11">
      <c r="K39" s="102"/>
    </row>
    <row r="40" spans="1:11">
      <c r="K40" s="102"/>
    </row>
  </sheetData>
  <sheetProtection selectLockedCells="1"/>
  <mergeCells count="4">
    <mergeCell ref="K20:L20"/>
    <mergeCell ref="K18:L18"/>
    <mergeCell ref="J26:L26"/>
    <mergeCell ref="J27:L27"/>
  </mergeCells>
  <dataValidations count="4">
    <dataValidation type="custom" allowBlank="1" showErrorMessage="1" errorTitle="Wrong Format" error="Please insert in true format" promptTitle="Wrong Format" prompt="Please insert true format" sqref="C4" xr:uid="{205FA517-C74A-4D5D-90D9-10A7D146E445}">
      <formula1>ISNUMBER(C6)</formula1>
    </dataValidation>
    <dataValidation type="custom" allowBlank="1" showInputMessage="1" showErrorMessage="1" errorTitle="Wrong Format" error="Please write in true format" sqref="E23" xr:uid="{270714F9-9DA9-4D9B-BD87-6624F2551B52}">
      <formula1>AND(LEN(C6)&gt;=12,LEN(C6)&lt;=12,VALUE(C6)&gt;0)</formula1>
    </dataValidation>
    <dataValidation type="custom" allowBlank="1" showInputMessage="1" showErrorMessage="1" errorTitle="Wrong Format" error="Please write in correct format_x000a_(e.g. 990101011010)" sqref="C6" xr:uid="{A95B6472-75E3-4548-A54F-31A875C685F0}">
      <formula1>AND(LEN(C6)&gt;=12,LEN(C6)&lt;=12,VALUE(C6)&gt;0)</formula1>
    </dataValidation>
    <dataValidation type="custom" allowBlank="1" showInputMessage="1" showErrorMessage="1" errorTitle="Wrong Format" error="Please check you matric number_x000a_(e.g. 200000)" sqref="C8" xr:uid="{DB2E20E8-2D83-4978-A4AE-A533A929A50D}">
      <formula1>AND(LEN(C8)&gt;=6,LEN(C8)&lt;=6,VALUE(C8)&gt;0)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6" r:id="rId3" name="check1Btn">
          <controlPr defaultSize="0" autoLine="0" autoPict="0" r:id="rId4">
            <anchor moveWithCells="1">
              <from>
                <xdr:col>2</xdr:col>
                <xdr:colOff>1771650</xdr:colOff>
                <xdr:row>25</xdr:row>
                <xdr:rowOff>180975</xdr:rowOff>
              </from>
              <to>
                <xdr:col>2</xdr:col>
                <xdr:colOff>2838450</xdr:colOff>
                <xdr:row>27</xdr:row>
                <xdr:rowOff>85725</xdr:rowOff>
              </to>
            </anchor>
          </controlPr>
        </control>
      </mc:Choice>
      <mc:Fallback>
        <control shapeId="1036" r:id="rId3" name="check1Btn"/>
      </mc:Fallback>
    </mc:AlternateContent>
    <mc:AlternateContent xmlns:mc="http://schemas.openxmlformats.org/markup-compatibility/2006">
      <mc:Choice Requires="x14">
        <control shapeId="1035" r:id="rId5" name="printBtn">
          <controlPr defaultSize="0" autoLine="0" autoPict="0" r:id="rId6">
            <anchor moveWithCells="1">
              <from>
                <xdr:col>2</xdr:col>
                <xdr:colOff>1409700</xdr:colOff>
                <xdr:row>36</xdr:row>
                <xdr:rowOff>66675</xdr:rowOff>
              </from>
              <to>
                <xdr:col>2</xdr:col>
                <xdr:colOff>2847975</xdr:colOff>
                <xdr:row>36</xdr:row>
                <xdr:rowOff>371475</xdr:rowOff>
              </to>
            </anchor>
          </controlPr>
        </control>
      </mc:Choice>
      <mc:Fallback>
        <control shapeId="1035" r:id="rId5" name="printBtn"/>
      </mc:Fallback>
    </mc:AlternateContent>
    <mc:AlternateContent xmlns:mc="http://schemas.openxmlformats.org/markup-compatibility/2006">
      <mc:Choice Requires="x14">
        <control shapeId="1031" r:id="rId7" name="resetBtn">
          <controlPr defaultSize="0" autoLine="0" r:id="rId8">
            <anchor moveWithCells="1">
              <from>
                <xdr:col>2</xdr:col>
                <xdr:colOff>695325</xdr:colOff>
                <xdr:row>25</xdr:row>
                <xdr:rowOff>180975</xdr:rowOff>
              </from>
              <to>
                <xdr:col>2</xdr:col>
                <xdr:colOff>1695450</xdr:colOff>
                <xdr:row>27</xdr:row>
                <xdr:rowOff>76200</xdr:rowOff>
              </to>
            </anchor>
          </controlPr>
        </control>
      </mc:Choice>
      <mc:Fallback>
        <control shapeId="1031" r:id="rId7" name="resetBtn"/>
      </mc:Fallback>
    </mc:AlternateContent>
    <mc:AlternateContent xmlns:mc="http://schemas.openxmlformats.org/markup-compatibility/2006">
      <mc:Choice Requires="x14">
        <control shapeId="1028" r:id="rId9" name="Drop Down 4">
          <controlPr defaultSize="0" autoLine="0" autoPict="0" macro="[0]!InasitList" altText="">
            <anchor moveWithCells="1">
              <from>
                <xdr:col>2</xdr:col>
                <xdr:colOff>9525</xdr:colOff>
                <xdr:row>8</xdr:row>
                <xdr:rowOff>38100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registerBtn">
            <anchor moveWithCells="1" sizeWithCells="1">
              <from>
                <xdr:col>2</xdr:col>
                <xdr:colOff>1857375</xdr:colOff>
                <xdr:row>13</xdr:row>
                <xdr:rowOff>38100</xdr:rowOff>
              </from>
              <to>
                <xdr:col>2</xdr:col>
                <xdr:colOff>2847975</xdr:colOff>
                <xdr:row>14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F319-E296-4B34-9712-5CD59812FC99}">
  <sheetPr codeName="Sheet7"/>
  <dimension ref="I1:L23"/>
  <sheetViews>
    <sheetView showGridLines="0" workbookViewId="0">
      <selection activeCell="O20" sqref="O20"/>
    </sheetView>
  </sheetViews>
  <sheetFormatPr defaultRowHeight="20.25" customHeight="1"/>
  <cols>
    <col min="1" max="8" width="9.140625" style="2"/>
    <col min="9" max="9" width="6" style="2" customWidth="1"/>
    <col min="10" max="10" width="25.5703125" style="2" customWidth="1"/>
    <col min="11" max="11" width="53" style="2" customWidth="1"/>
    <col min="12" max="16384" width="9.140625" style="2"/>
  </cols>
  <sheetData>
    <row r="1" spans="9:12" ht="20.25" customHeight="1">
      <c r="I1" s="26"/>
      <c r="J1" s="27"/>
      <c r="K1" s="27"/>
      <c r="L1" s="32"/>
    </row>
    <row r="2" spans="9:12" ht="20.25" customHeight="1">
      <c r="I2" s="28"/>
      <c r="J2" s="3"/>
      <c r="K2" s="3"/>
      <c r="L2" s="29"/>
    </row>
    <row r="3" spans="9:12" ht="20.25" customHeight="1">
      <c r="I3" s="28"/>
      <c r="J3" s="3"/>
      <c r="K3" s="3"/>
      <c r="L3" s="29"/>
    </row>
    <row r="4" spans="9:12" ht="20.25" customHeight="1">
      <c r="I4" s="28"/>
      <c r="J4" s="3"/>
      <c r="K4" s="3"/>
      <c r="L4" s="29"/>
    </row>
    <row r="5" spans="9:12" ht="20.25" customHeight="1">
      <c r="I5" s="28"/>
      <c r="J5" s="3"/>
      <c r="K5" s="3"/>
      <c r="L5" s="29"/>
    </row>
    <row r="6" spans="9:12" ht="20.25" customHeight="1">
      <c r="I6" s="28"/>
      <c r="J6" s="3"/>
      <c r="K6" s="3"/>
      <c r="L6" s="29"/>
    </row>
    <row r="7" spans="9:12" ht="20.25" customHeight="1">
      <c r="I7" s="28"/>
      <c r="J7" s="3"/>
      <c r="K7" s="3"/>
      <c r="L7" s="29"/>
    </row>
    <row r="8" spans="9:12" ht="20.25" customHeight="1">
      <c r="I8" s="28"/>
      <c r="J8" s="3"/>
      <c r="K8" s="3"/>
      <c r="L8" s="29"/>
    </row>
    <row r="9" spans="9:12" ht="43.5" customHeight="1">
      <c r="I9" s="28"/>
      <c r="J9" s="113" t="s">
        <v>66</v>
      </c>
      <c r="K9" s="113"/>
      <c r="L9" s="29"/>
    </row>
    <row r="10" spans="9:12" ht="20.25" customHeight="1">
      <c r="I10" s="28"/>
      <c r="J10" s="114" t="s">
        <v>67</v>
      </c>
      <c r="K10" s="114"/>
      <c r="L10" s="29"/>
    </row>
    <row r="11" spans="9:12" ht="20.25" customHeight="1">
      <c r="I11" s="28"/>
      <c r="J11" s="111" t="s">
        <v>41</v>
      </c>
      <c r="K11" s="111"/>
      <c r="L11" s="29"/>
    </row>
    <row r="12" spans="9:12" ht="20.25" customHeight="1">
      <c r="I12" s="28"/>
      <c r="J12" s="114" t="s">
        <v>53</v>
      </c>
      <c r="K12" s="114"/>
      <c r="L12" s="29"/>
    </row>
    <row r="13" spans="9:12" ht="20.25" customHeight="1">
      <c r="I13" s="28"/>
      <c r="J13" s="112">
        <v>989098106745</v>
      </c>
      <c r="K13" s="112"/>
      <c r="L13" s="29"/>
    </row>
    <row r="14" spans="9:12" ht="20.25" customHeight="1">
      <c r="I14" s="28"/>
      <c r="J14" s="114" t="s">
        <v>52</v>
      </c>
      <c r="K14" s="114"/>
      <c r="L14" s="29"/>
    </row>
    <row r="15" spans="9:12" ht="20.25" customHeight="1">
      <c r="I15" s="28"/>
      <c r="J15" s="111">
        <v>234234</v>
      </c>
      <c r="K15" s="111"/>
      <c r="L15" s="29"/>
    </row>
    <row r="16" spans="9:12" ht="20.25" customHeight="1">
      <c r="I16" s="28"/>
      <c r="J16" s="3"/>
      <c r="K16" s="3"/>
      <c r="L16" s="29"/>
    </row>
    <row r="17" spans="9:12" ht="20.25" customHeight="1">
      <c r="I17" s="28"/>
      <c r="J17" s="111" t="s">
        <v>68</v>
      </c>
      <c r="K17" s="111"/>
      <c r="L17" s="29"/>
    </row>
    <row r="18" spans="9:12" ht="20.25" customHeight="1">
      <c r="I18" s="28"/>
      <c r="J18" s="111"/>
      <c r="K18" s="111"/>
      <c r="L18" s="29"/>
    </row>
    <row r="19" spans="9:12" ht="20.25" customHeight="1">
      <c r="I19" s="28"/>
      <c r="J19" s="111"/>
      <c r="K19" s="111"/>
      <c r="L19" s="29"/>
    </row>
    <row r="20" spans="9:12" ht="20.25" customHeight="1">
      <c r="I20" s="28"/>
      <c r="J20" s="3"/>
      <c r="K20" s="3"/>
      <c r="L20" s="29"/>
    </row>
    <row r="21" spans="9:12" ht="20.25" customHeight="1">
      <c r="I21" s="28"/>
      <c r="J21" s="3"/>
      <c r="K21" s="3"/>
      <c r="L21" s="29"/>
    </row>
    <row r="22" spans="9:12" ht="20.25" customHeight="1">
      <c r="I22" s="28"/>
      <c r="J22" s="3"/>
      <c r="K22" s="3"/>
      <c r="L22" s="29"/>
    </row>
    <row r="23" spans="9:12" ht="20.25" customHeight="1" thickBot="1">
      <c r="I23" s="30"/>
      <c r="J23" s="33"/>
      <c r="K23" s="33"/>
      <c r="L23" s="31"/>
    </row>
  </sheetData>
  <mergeCells count="10">
    <mergeCell ref="J19:K19"/>
    <mergeCell ref="J15:K15"/>
    <mergeCell ref="J11:K11"/>
    <mergeCell ref="J13:K13"/>
    <mergeCell ref="J9:K9"/>
    <mergeCell ref="J10:K10"/>
    <mergeCell ref="J12:K12"/>
    <mergeCell ref="J14:K14"/>
    <mergeCell ref="J17:K17"/>
    <mergeCell ref="J18:K1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1C0FE-28B8-486E-BB66-94F99BFC6CC4}">
  <sheetPr codeName="Sheet2"/>
  <dimension ref="A1:V6"/>
  <sheetViews>
    <sheetView topLeftCell="L1" workbookViewId="0">
      <selection activeCell="D11" sqref="D11"/>
    </sheetView>
  </sheetViews>
  <sheetFormatPr defaultRowHeight="15"/>
  <cols>
    <col min="1" max="1" width="9.140625" style="1"/>
    <col min="2" max="2" width="15.5703125" style="1" customWidth="1"/>
    <col min="3" max="3" width="43.28515625" style="1" customWidth="1"/>
    <col min="4" max="4" width="25" style="23" customWidth="1"/>
    <col min="5" max="5" width="17" style="21" customWidth="1"/>
    <col min="6" max="6" width="18.140625" style="24" customWidth="1"/>
    <col min="7" max="8" width="17" style="21" customWidth="1"/>
    <col min="9" max="9" width="3.85546875" style="1" customWidth="1"/>
    <col min="10" max="10" width="20.85546875" style="19" customWidth="1"/>
    <col min="11" max="11" width="19.28515625" style="19" customWidth="1"/>
    <col min="12" max="12" width="52.28515625" style="19" customWidth="1"/>
    <col min="13" max="13" width="23.28515625" style="19" customWidth="1"/>
    <col min="14" max="14" width="22" style="19" customWidth="1"/>
    <col min="15" max="15" width="17.28515625" style="19" customWidth="1"/>
    <col min="16" max="16" width="17.85546875" style="19" customWidth="1"/>
    <col min="17" max="17" width="18.85546875" style="1" customWidth="1"/>
    <col min="18" max="18" width="22.7109375" style="1" customWidth="1"/>
    <col min="19" max="19" width="23" style="1" customWidth="1"/>
    <col min="20" max="20" width="34.28515625" style="1" customWidth="1"/>
    <col min="21" max="16384" width="9.140625" style="1"/>
  </cols>
  <sheetData>
    <row r="1" spans="1:22">
      <c r="C1" s="1" t="s">
        <v>24</v>
      </c>
      <c r="K1" s="19" t="s">
        <v>33</v>
      </c>
    </row>
    <row r="2" spans="1:22">
      <c r="C2" s="1" t="s">
        <v>17</v>
      </c>
      <c r="D2" s="23">
        <v>2</v>
      </c>
      <c r="K2" s="19">
        <v>2</v>
      </c>
    </row>
    <row r="3" spans="1:22">
      <c r="Q3" s="19"/>
      <c r="R3" s="19"/>
      <c r="S3" s="19"/>
      <c r="T3" s="19"/>
    </row>
    <row r="4" spans="1:22">
      <c r="A4" s="5" t="s">
        <v>21</v>
      </c>
      <c r="B4" s="5" t="s">
        <v>23</v>
      </c>
      <c r="C4" s="5" t="s">
        <v>0</v>
      </c>
      <c r="D4" s="25" t="s">
        <v>7</v>
      </c>
      <c r="E4" s="22" t="s">
        <v>1</v>
      </c>
      <c r="F4" s="6" t="s">
        <v>2</v>
      </c>
      <c r="G4" s="22" t="s">
        <v>3</v>
      </c>
      <c r="H4" s="22" t="s">
        <v>28</v>
      </c>
      <c r="I4" s="5"/>
      <c r="J4" s="20" t="s">
        <v>21</v>
      </c>
      <c r="K4" s="20" t="s">
        <v>23</v>
      </c>
      <c r="L4" s="20" t="s">
        <v>0</v>
      </c>
      <c r="M4" s="22" t="s">
        <v>7</v>
      </c>
      <c r="N4" s="22" t="s">
        <v>1</v>
      </c>
      <c r="O4" s="22" t="s">
        <v>2</v>
      </c>
      <c r="P4" s="22" t="s">
        <v>3</v>
      </c>
      <c r="Q4" s="5" t="s">
        <v>19</v>
      </c>
      <c r="R4" s="6" t="s">
        <v>32</v>
      </c>
      <c r="S4" s="5" t="s">
        <v>31</v>
      </c>
      <c r="T4" s="5" t="s">
        <v>36</v>
      </c>
      <c r="V4" s="1">
        <f>COUNTIF(T5:T200, "COMPLETE VACCINATION")</f>
        <v>2</v>
      </c>
    </row>
    <row r="5" spans="1:22">
      <c r="A5" s="1">
        <v>1</v>
      </c>
      <c r="B5" s="18">
        <v>44391</v>
      </c>
      <c r="C5" s="1" t="s">
        <v>46</v>
      </c>
      <c r="D5" s="23">
        <v>989900109999</v>
      </c>
      <c r="E5" s="21">
        <v>265527</v>
      </c>
      <c r="F5" s="24" t="s">
        <v>9</v>
      </c>
      <c r="G5" s="21">
        <v>172661859</v>
      </c>
      <c r="H5" s="21" t="s">
        <v>47</v>
      </c>
      <c r="J5" s="21">
        <v>1</v>
      </c>
      <c r="K5" s="21" t="s">
        <v>39</v>
      </c>
      <c r="L5" s="21" t="s">
        <v>35</v>
      </c>
      <c r="M5" s="23">
        <v>989018100101</v>
      </c>
      <c r="N5" s="21">
        <v>265528</v>
      </c>
      <c r="O5" s="21" t="s">
        <v>8</v>
      </c>
      <c r="P5" s="21" t="s">
        <v>78</v>
      </c>
      <c r="Q5" s="37">
        <v>44386</v>
      </c>
      <c r="R5" s="24" t="s">
        <v>38</v>
      </c>
      <c r="S5" s="24" t="s">
        <v>37</v>
      </c>
      <c r="T5" s="1" t="s">
        <v>44</v>
      </c>
    </row>
    <row r="6" spans="1:22">
      <c r="A6" s="1">
        <v>2</v>
      </c>
      <c r="B6" s="18">
        <v>44391</v>
      </c>
      <c r="C6" s="1" t="s">
        <v>69</v>
      </c>
      <c r="D6" s="23">
        <v>981111113211</v>
      </c>
      <c r="E6" s="21">
        <v>222222</v>
      </c>
      <c r="F6" s="24" t="s">
        <v>9</v>
      </c>
      <c r="G6" s="21">
        <v>831313131</v>
      </c>
      <c r="H6" s="21" t="s">
        <v>47</v>
      </c>
      <c r="J6" s="21">
        <v>2</v>
      </c>
      <c r="K6" s="21" t="s">
        <v>43</v>
      </c>
      <c r="L6" s="21" t="s">
        <v>41</v>
      </c>
      <c r="M6" s="23">
        <v>989098102333</v>
      </c>
      <c r="N6" s="21">
        <v>234234</v>
      </c>
      <c r="O6" s="21" t="s">
        <v>9</v>
      </c>
      <c r="P6" s="21">
        <v>1734455678</v>
      </c>
      <c r="Q6" s="37">
        <v>44386</v>
      </c>
      <c r="R6" s="24" t="s">
        <v>38</v>
      </c>
      <c r="S6" s="24" t="s">
        <v>42</v>
      </c>
      <c r="T6" s="1" t="s">
        <v>44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E8E70-D0F0-400D-9224-17946293C52B}">
  <sheetPr codeName="Sheet3"/>
  <dimension ref="A1:L34"/>
  <sheetViews>
    <sheetView showGridLines="0" workbookViewId="0">
      <selection activeCell="K6" sqref="K6"/>
    </sheetView>
  </sheetViews>
  <sheetFormatPr defaultRowHeight="18.75" customHeight="1"/>
  <cols>
    <col min="1" max="1" width="28.85546875" style="2" customWidth="1"/>
    <col min="2" max="2" width="1.28515625" style="2" customWidth="1"/>
    <col min="3" max="3" width="48.85546875" style="2" customWidth="1"/>
    <col min="4" max="4" width="9.140625" style="2"/>
    <col min="5" max="5" width="43.7109375" style="2" customWidth="1"/>
    <col min="6" max="8" width="9.140625" style="2"/>
    <col min="9" max="9" width="31.85546875" style="2" customWidth="1"/>
    <col min="10" max="10" width="2" style="2" customWidth="1"/>
    <col min="11" max="11" width="49.5703125" style="2" customWidth="1"/>
    <col min="12" max="12" width="21" style="2" customWidth="1"/>
    <col min="13" max="16384" width="9.140625" style="2"/>
  </cols>
  <sheetData>
    <row r="1" spans="1:12" ht="18.75" customHeight="1" thickBot="1"/>
    <row r="2" spans="1:12" ht="18.75" customHeight="1">
      <c r="A2" s="65"/>
      <c r="B2" s="66"/>
      <c r="C2" s="67" t="s">
        <v>27</v>
      </c>
      <c r="E2" s="2" t="s">
        <v>29</v>
      </c>
      <c r="F2" s="38">
        <f>StudentDatabase!D2</f>
        <v>2</v>
      </c>
      <c r="I2" s="115" t="s">
        <v>45</v>
      </c>
      <c r="J2" s="116"/>
      <c r="K2" s="116"/>
      <c r="L2" s="117"/>
    </row>
    <row r="3" spans="1:12" ht="18.75" customHeight="1">
      <c r="A3" s="50"/>
      <c r="B3" s="51"/>
      <c r="C3" s="52"/>
      <c r="E3" s="2" t="s">
        <v>30</v>
      </c>
      <c r="F3" s="39">
        <f>StudentDatabase!K2</f>
        <v>2</v>
      </c>
      <c r="I3" s="50"/>
      <c r="J3" s="51"/>
      <c r="K3" s="54"/>
      <c r="L3" s="55"/>
    </row>
    <row r="4" spans="1:12" ht="18.75" customHeight="1">
      <c r="A4" s="53" t="s">
        <v>4</v>
      </c>
      <c r="B4" s="54" t="s">
        <v>26</v>
      </c>
      <c r="C4" s="89"/>
      <c r="E4" s="2" t="s">
        <v>34</v>
      </c>
      <c r="F4" s="38">
        <f>F2+F3</f>
        <v>4</v>
      </c>
      <c r="I4" s="71" t="s">
        <v>4</v>
      </c>
      <c r="J4" s="68" t="s">
        <v>26</v>
      </c>
      <c r="K4" s="75"/>
      <c r="L4" s="55"/>
    </row>
    <row r="5" spans="1:12" ht="7.5" customHeight="1">
      <c r="A5" s="50"/>
      <c r="B5" s="54"/>
      <c r="C5" s="55"/>
      <c r="I5" s="69"/>
      <c r="J5" s="68"/>
      <c r="K5" s="70"/>
      <c r="L5" s="55"/>
    </row>
    <row r="6" spans="1:12" ht="18.75" customHeight="1">
      <c r="A6" s="53" t="s">
        <v>25</v>
      </c>
      <c r="B6" s="54" t="s">
        <v>26</v>
      </c>
      <c r="C6" s="90"/>
      <c r="E6" s="2" t="s">
        <v>51</v>
      </c>
      <c r="F6" s="102">
        <f>StudentDatabase!V4</f>
        <v>2</v>
      </c>
      <c r="I6" s="71" t="s">
        <v>1</v>
      </c>
      <c r="J6" s="68" t="s">
        <v>26</v>
      </c>
      <c r="K6" s="88"/>
      <c r="L6" s="55"/>
    </row>
    <row r="7" spans="1:12" ht="6.75" customHeight="1">
      <c r="A7" s="50"/>
      <c r="B7" s="54"/>
      <c r="C7" s="55"/>
      <c r="I7" s="50"/>
      <c r="J7" s="54"/>
      <c r="K7" s="51"/>
      <c r="L7" s="55"/>
    </row>
    <row r="8" spans="1:12" ht="18.75" customHeight="1">
      <c r="A8" s="56" t="s">
        <v>0</v>
      </c>
      <c r="B8" s="54" t="s">
        <v>26</v>
      </c>
      <c r="C8" s="91"/>
      <c r="E8" s="2" t="s">
        <v>50</v>
      </c>
      <c r="F8" s="102">
        <v>100</v>
      </c>
      <c r="I8" s="76" t="s">
        <v>25</v>
      </c>
      <c r="J8" s="77" t="s">
        <v>26</v>
      </c>
      <c r="K8" s="78"/>
      <c r="L8" s="55"/>
    </row>
    <row r="9" spans="1:12" ht="6.75" customHeight="1">
      <c r="A9" s="56"/>
      <c r="B9" s="54"/>
      <c r="C9" s="57"/>
      <c r="I9" s="76"/>
      <c r="J9" s="77"/>
      <c r="K9" s="79"/>
      <c r="L9" s="55"/>
    </row>
    <row r="10" spans="1:12" ht="18.75" customHeight="1">
      <c r="A10" s="56" t="s">
        <v>1</v>
      </c>
      <c r="B10" s="54" t="s">
        <v>26</v>
      </c>
      <c r="C10" s="92"/>
      <c r="I10" s="76" t="s">
        <v>0</v>
      </c>
      <c r="J10" s="77" t="s">
        <v>26</v>
      </c>
      <c r="K10" s="80"/>
      <c r="L10" s="55"/>
    </row>
    <row r="11" spans="1:12" ht="6.75" customHeight="1">
      <c r="A11" s="56"/>
      <c r="B11" s="54"/>
      <c r="C11" s="57"/>
      <c r="I11" s="76"/>
      <c r="J11" s="77"/>
      <c r="K11" s="79"/>
      <c r="L11" s="55"/>
    </row>
    <row r="12" spans="1:12" ht="18.75" customHeight="1">
      <c r="A12" s="56" t="s">
        <v>2</v>
      </c>
      <c r="B12" s="54" t="s">
        <v>26</v>
      </c>
      <c r="C12" s="91"/>
      <c r="I12" s="76" t="s">
        <v>2</v>
      </c>
      <c r="J12" s="77" t="s">
        <v>26</v>
      </c>
      <c r="K12" s="78"/>
      <c r="L12" s="55"/>
    </row>
    <row r="13" spans="1:12" ht="6.75" customHeight="1">
      <c r="A13" s="56"/>
      <c r="B13" s="54"/>
      <c r="C13" s="57"/>
      <c r="I13" s="76"/>
      <c r="J13" s="77"/>
      <c r="K13" s="79"/>
      <c r="L13" s="55"/>
    </row>
    <row r="14" spans="1:12" ht="18.75" customHeight="1">
      <c r="A14" s="56" t="s">
        <v>3</v>
      </c>
      <c r="B14" s="54" t="s">
        <v>26</v>
      </c>
      <c r="C14" s="93"/>
      <c r="I14" s="76" t="s">
        <v>3</v>
      </c>
      <c r="J14" s="77" t="s">
        <v>26</v>
      </c>
      <c r="K14" s="81" t="s">
        <v>40</v>
      </c>
      <c r="L14" s="55"/>
    </row>
    <row r="15" spans="1:12" ht="42" customHeight="1" thickBot="1">
      <c r="A15" s="58"/>
      <c r="B15" s="59"/>
      <c r="C15" s="60"/>
      <c r="I15" s="82"/>
      <c r="J15" s="83"/>
      <c r="K15" s="84"/>
      <c r="L15" s="55"/>
    </row>
    <row r="16" spans="1:12" ht="7.5" customHeight="1">
      <c r="A16" s="49"/>
      <c r="B16" s="61"/>
      <c r="C16" s="62"/>
      <c r="I16" s="82"/>
      <c r="J16" s="79"/>
      <c r="K16" s="84"/>
      <c r="L16" s="55"/>
    </row>
    <row r="17" spans="1:12" ht="18.75" customHeight="1">
      <c r="A17" s="53" t="s">
        <v>19</v>
      </c>
      <c r="B17" s="63" t="s">
        <v>26</v>
      </c>
      <c r="C17" s="94"/>
      <c r="I17" s="85" t="s">
        <v>19</v>
      </c>
      <c r="J17" s="83" t="s">
        <v>26</v>
      </c>
      <c r="K17" s="86"/>
      <c r="L17" s="55"/>
    </row>
    <row r="18" spans="1:12" ht="6.75" customHeight="1">
      <c r="A18" s="50"/>
      <c r="B18" s="63"/>
      <c r="C18" s="55"/>
      <c r="I18" s="82"/>
      <c r="J18" s="83"/>
      <c r="K18" s="84"/>
      <c r="L18" s="55"/>
    </row>
    <row r="19" spans="1:12" ht="18.75" customHeight="1">
      <c r="A19" s="53" t="s">
        <v>32</v>
      </c>
      <c r="B19" s="63" t="s">
        <v>26</v>
      </c>
      <c r="C19" s="95"/>
      <c r="I19" s="85" t="s">
        <v>32</v>
      </c>
      <c r="J19" s="83" t="s">
        <v>26</v>
      </c>
      <c r="K19" s="78"/>
      <c r="L19" s="55"/>
    </row>
    <row r="20" spans="1:12" ht="6.75" customHeight="1">
      <c r="A20" s="50"/>
      <c r="B20" s="51"/>
      <c r="C20" s="55"/>
      <c r="I20" s="82"/>
      <c r="J20" s="84"/>
      <c r="K20" s="84"/>
      <c r="L20" s="55"/>
    </row>
    <row r="21" spans="1:12" ht="18.75" customHeight="1">
      <c r="A21" s="53" t="s">
        <v>31</v>
      </c>
      <c r="B21" s="54" t="s">
        <v>26</v>
      </c>
      <c r="C21" s="95"/>
      <c r="I21" s="85" t="s">
        <v>31</v>
      </c>
      <c r="J21" s="77" t="s">
        <v>26</v>
      </c>
      <c r="K21" s="78"/>
      <c r="L21" s="55"/>
    </row>
    <row r="22" spans="1:12" ht="9" customHeight="1">
      <c r="A22" s="50"/>
      <c r="B22" s="51"/>
      <c r="C22" s="55"/>
      <c r="I22" s="82"/>
      <c r="J22" s="84"/>
      <c r="K22" s="84"/>
      <c r="L22" s="55"/>
    </row>
    <row r="23" spans="1:12" ht="18.75" customHeight="1">
      <c r="A23" s="50"/>
      <c r="B23" s="51"/>
      <c r="C23" s="55"/>
      <c r="I23" s="85" t="s">
        <v>36</v>
      </c>
      <c r="J23" s="84" t="s">
        <v>26</v>
      </c>
      <c r="K23" s="87"/>
      <c r="L23" s="55"/>
    </row>
    <row r="24" spans="1:12" ht="51" customHeight="1" thickBot="1">
      <c r="A24" s="50"/>
      <c r="B24" s="51"/>
      <c r="C24" s="55"/>
      <c r="I24" s="58"/>
      <c r="J24" s="64"/>
      <c r="K24" s="64"/>
      <c r="L24" s="60"/>
    </row>
    <row r="25" spans="1:12" ht="18.75" customHeight="1" thickBot="1">
      <c r="A25" s="58"/>
      <c r="B25" s="64"/>
      <c r="C25" s="60"/>
      <c r="I25" s="3"/>
      <c r="J25" s="3"/>
      <c r="K25" s="3"/>
    </row>
    <row r="28" spans="1:12" ht="18.75" customHeight="1" thickBot="1"/>
    <row r="29" spans="1:12" ht="18.75" customHeight="1">
      <c r="A29" s="73" t="s">
        <v>65</v>
      </c>
      <c r="B29" s="66"/>
      <c r="C29" s="72"/>
    </row>
    <row r="30" spans="1:12" ht="18.75" customHeight="1">
      <c r="A30" s="50"/>
      <c r="B30" s="51"/>
      <c r="C30" s="55"/>
    </row>
    <row r="31" spans="1:12" ht="18.75" customHeight="1">
      <c r="A31" s="53" t="s">
        <v>54</v>
      </c>
      <c r="B31" s="54" t="s">
        <v>26</v>
      </c>
      <c r="C31" s="106"/>
    </row>
    <row r="32" spans="1:12" ht="18.75" customHeight="1">
      <c r="A32" s="53" t="s">
        <v>55</v>
      </c>
      <c r="B32" s="54" t="s">
        <v>26</v>
      </c>
      <c r="C32" s="106"/>
    </row>
    <row r="33" spans="1:3" ht="18.75" customHeight="1">
      <c r="A33" s="50"/>
      <c r="B33" s="51"/>
      <c r="C33" s="55"/>
    </row>
    <row r="34" spans="1:3" ht="18.75" customHeight="1" thickBot="1">
      <c r="A34" s="58"/>
      <c r="B34" s="64"/>
      <c r="C34" s="60"/>
    </row>
  </sheetData>
  <sheetProtection selectLockedCells="1"/>
  <mergeCells count="1">
    <mergeCell ref="I2:L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6" r:id="rId3" name="resetBtn">
          <controlPr defaultSize="0" autoLine="0" r:id="rId4">
            <anchor moveWithCells="1">
              <from>
                <xdr:col>11</xdr:col>
                <xdr:colOff>76200</xdr:colOff>
                <xdr:row>20</xdr:row>
                <xdr:rowOff>38100</xdr:rowOff>
              </from>
              <to>
                <xdr:col>11</xdr:col>
                <xdr:colOff>1323975</xdr:colOff>
                <xdr:row>22</xdr:row>
                <xdr:rowOff>104775</xdr:rowOff>
              </to>
            </anchor>
          </controlPr>
        </control>
      </mc:Choice>
      <mc:Fallback>
        <control shapeId="3086" r:id="rId3" name="resetBtn"/>
      </mc:Fallback>
    </mc:AlternateContent>
    <mc:AlternateContent xmlns:mc="http://schemas.openxmlformats.org/markup-compatibility/2006">
      <mc:Choice Requires="x14">
        <control shapeId="3080" r:id="rId5" name="nextBtn">
          <controlPr defaultSize="0" autoLine="0" r:id="rId6">
            <anchor moveWithCells="1">
              <from>
                <xdr:col>2</xdr:col>
                <xdr:colOff>2038350</xdr:colOff>
                <xdr:row>14</xdr:row>
                <xdr:rowOff>85725</xdr:rowOff>
              </from>
              <to>
                <xdr:col>2</xdr:col>
                <xdr:colOff>3162300</xdr:colOff>
                <xdr:row>14</xdr:row>
                <xdr:rowOff>419100</xdr:rowOff>
              </to>
            </anchor>
          </controlPr>
        </control>
      </mc:Choice>
      <mc:Fallback>
        <control shapeId="3080" r:id="rId5" name="nextBtn"/>
      </mc:Fallback>
    </mc:AlternateContent>
    <mc:AlternateContent xmlns:mc="http://schemas.openxmlformats.org/markup-compatibility/2006">
      <mc:Choice Requires="x14">
        <control shapeId="3084" r:id="rId7" name="searchBtn">
          <controlPr defaultSize="0" autoLine="0" r:id="rId8">
            <anchor moveWithCells="1">
              <from>
                <xdr:col>11</xdr:col>
                <xdr:colOff>76200</xdr:colOff>
                <xdr:row>2</xdr:row>
                <xdr:rowOff>219075</xdr:rowOff>
              </from>
              <to>
                <xdr:col>11</xdr:col>
                <xdr:colOff>1323975</xdr:colOff>
                <xdr:row>6</xdr:row>
                <xdr:rowOff>9525</xdr:rowOff>
              </to>
            </anchor>
          </controlPr>
        </control>
      </mc:Choice>
      <mc:Fallback>
        <control shapeId="3084" r:id="rId7" name="searchBtn"/>
      </mc:Fallback>
    </mc:AlternateContent>
    <mc:AlternateContent xmlns:mc="http://schemas.openxmlformats.org/markup-compatibility/2006">
      <mc:Choice Requires="x14">
        <control shapeId="3085" r:id="rId9" name="confirmBtn">
          <controlPr defaultSize="0" autoLine="0" r:id="rId10">
            <anchor moveWithCells="1">
              <from>
                <xdr:col>11</xdr:col>
                <xdr:colOff>66675</xdr:colOff>
                <xdr:row>23</xdr:row>
                <xdr:rowOff>9525</xdr:rowOff>
              </from>
              <to>
                <xdr:col>11</xdr:col>
                <xdr:colOff>1343025</xdr:colOff>
                <xdr:row>23</xdr:row>
                <xdr:rowOff>447675</xdr:rowOff>
              </to>
            </anchor>
          </controlPr>
        </control>
      </mc:Choice>
      <mc:Fallback>
        <control shapeId="3085" r:id="rId9" name="confirmBtn"/>
      </mc:Fallback>
    </mc:AlternateContent>
    <mc:AlternateContent xmlns:mc="http://schemas.openxmlformats.org/markup-compatibility/2006">
      <mc:Choice Requires="x14">
        <control shapeId="3079" r:id="rId11" name="Button 7">
          <controlPr defaultSize="0" print="0" autoFill="0" autoPict="0" macro="[0]!approveBtn">
            <anchor moveWithCells="1" sizeWithCells="1">
              <from>
                <xdr:col>2</xdr:col>
                <xdr:colOff>2047875</xdr:colOff>
                <xdr:row>22</xdr:row>
                <xdr:rowOff>9525</xdr:rowOff>
              </from>
              <to>
                <xdr:col>2</xdr:col>
                <xdr:colOff>3076575</xdr:colOff>
                <xdr:row>23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A1A83-2B3F-4D72-8B53-DDC7FE488C06}">
  <sheetPr codeName="Sheet4"/>
  <dimension ref="A2:I3"/>
  <sheetViews>
    <sheetView showGridLines="0" workbookViewId="0">
      <selection activeCell="H28" sqref="H28"/>
    </sheetView>
  </sheetViews>
  <sheetFormatPr defaultRowHeight="15.75"/>
  <cols>
    <col min="1" max="1" width="43.85546875" style="2" customWidth="1"/>
    <col min="2" max="7" width="9.140625" style="2"/>
    <col min="8" max="8" width="13.85546875" style="2" bestFit="1" customWidth="1"/>
    <col min="9" max="16384" width="9.140625" style="2"/>
  </cols>
  <sheetData>
    <row r="2" spans="1:9" ht="30.75">
      <c r="A2" s="101" t="s">
        <v>49</v>
      </c>
    </row>
    <row r="3" spans="1:9">
      <c r="H3" s="99"/>
      <c r="I3" s="10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3BDEF-5768-4587-8ADC-2439B8FC60E3}">
  <sheetPr codeName="Sheet5"/>
  <dimension ref="A2:D30"/>
  <sheetViews>
    <sheetView workbookViewId="0">
      <selection activeCell="C36" sqref="C36"/>
    </sheetView>
  </sheetViews>
  <sheetFormatPr defaultRowHeight="15"/>
  <cols>
    <col min="1" max="1" width="19" style="1" customWidth="1"/>
    <col min="2" max="2" width="22.28515625" style="1" customWidth="1"/>
    <col min="3" max="3" width="27.5703125" style="1" customWidth="1"/>
    <col min="4" max="4" width="27.28515625" style="1" customWidth="1"/>
    <col min="5" max="16384" width="9.140625" style="1"/>
  </cols>
  <sheetData>
    <row r="2" spans="1:4" ht="15.75" thickBot="1"/>
    <row r="3" spans="1:4" ht="15.75" thickBot="1">
      <c r="A3" s="13" t="s">
        <v>18</v>
      </c>
      <c r="B3" s="14" t="s">
        <v>2</v>
      </c>
      <c r="C3" s="15" t="s">
        <v>19</v>
      </c>
      <c r="D3" s="6" t="s">
        <v>20</v>
      </c>
    </row>
    <row r="4" spans="1:4">
      <c r="A4" s="11" t="s">
        <v>8</v>
      </c>
      <c r="B4" s="16" t="s">
        <v>8</v>
      </c>
      <c r="C4" s="17">
        <v>44410</v>
      </c>
    </row>
    <row r="5" spans="1:4">
      <c r="A5" s="11" t="s">
        <v>9</v>
      </c>
      <c r="B5" s="7"/>
      <c r="C5" s="8">
        <v>44411</v>
      </c>
    </row>
    <row r="6" spans="1:4" ht="15.75" thickBot="1">
      <c r="A6" s="11" t="s">
        <v>10</v>
      </c>
      <c r="B6" s="9"/>
      <c r="C6" s="10">
        <v>44412</v>
      </c>
    </row>
    <row r="7" spans="1:4">
      <c r="A7" s="11" t="s">
        <v>11</v>
      </c>
      <c r="B7" s="16" t="s">
        <v>9</v>
      </c>
      <c r="C7" s="17">
        <v>44413</v>
      </c>
    </row>
    <row r="8" spans="1:4">
      <c r="A8" s="11" t="s">
        <v>12</v>
      </c>
      <c r="B8" s="7"/>
      <c r="C8" s="8">
        <v>44414</v>
      </c>
    </row>
    <row r="9" spans="1:4" ht="15.75" thickBot="1">
      <c r="A9" s="11" t="s">
        <v>13</v>
      </c>
      <c r="B9" s="9"/>
      <c r="C9" s="10">
        <v>44415</v>
      </c>
    </row>
    <row r="10" spans="1:4">
      <c r="A10" s="11" t="s">
        <v>14</v>
      </c>
      <c r="B10" s="16" t="s">
        <v>10</v>
      </c>
      <c r="C10" s="17">
        <v>44416</v>
      </c>
    </row>
    <row r="11" spans="1:4">
      <c r="A11" s="11" t="s">
        <v>15</v>
      </c>
      <c r="B11" s="7"/>
      <c r="C11" s="8">
        <v>44417</v>
      </c>
    </row>
    <row r="12" spans="1:4" ht="15.75" thickBot="1">
      <c r="A12" s="12" t="s">
        <v>16</v>
      </c>
      <c r="B12" s="9"/>
      <c r="C12" s="10">
        <v>44418</v>
      </c>
    </row>
    <row r="13" spans="1:4">
      <c r="B13" s="16" t="s">
        <v>11</v>
      </c>
      <c r="C13" s="17">
        <v>44419</v>
      </c>
    </row>
    <row r="14" spans="1:4">
      <c r="B14" s="7"/>
      <c r="C14" s="8">
        <v>44420</v>
      </c>
    </row>
    <row r="15" spans="1:4" ht="15.75" thickBot="1">
      <c r="B15" s="9"/>
      <c r="C15" s="10">
        <v>44421</v>
      </c>
    </row>
    <row r="16" spans="1:4">
      <c r="B16" s="16" t="s">
        <v>12</v>
      </c>
      <c r="C16" s="17">
        <v>44422</v>
      </c>
    </row>
    <row r="17" spans="2:3">
      <c r="B17" s="7"/>
      <c r="C17" s="8">
        <v>44423</v>
      </c>
    </row>
    <row r="18" spans="2:3" ht="15.75" thickBot="1">
      <c r="B18" s="9"/>
      <c r="C18" s="10">
        <v>44424</v>
      </c>
    </row>
    <row r="19" spans="2:3">
      <c r="B19" s="16" t="s">
        <v>13</v>
      </c>
      <c r="C19" s="17">
        <v>44425</v>
      </c>
    </row>
    <row r="20" spans="2:3">
      <c r="B20" s="7"/>
      <c r="C20" s="8">
        <v>44426</v>
      </c>
    </row>
    <row r="21" spans="2:3" ht="15.75" thickBot="1">
      <c r="B21" s="9"/>
      <c r="C21" s="10">
        <v>44427</v>
      </c>
    </row>
    <row r="22" spans="2:3">
      <c r="B22" s="16" t="s">
        <v>14</v>
      </c>
      <c r="C22" s="17">
        <v>44428</v>
      </c>
    </row>
    <row r="23" spans="2:3">
      <c r="B23" s="7"/>
      <c r="C23" s="8">
        <v>44429</v>
      </c>
    </row>
    <row r="24" spans="2:3" ht="15.75" thickBot="1">
      <c r="B24" s="9"/>
      <c r="C24" s="10">
        <v>44430</v>
      </c>
    </row>
    <row r="25" spans="2:3">
      <c r="B25" s="16" t="s">
        <v>15</v>
      </c>
      <c r="C25" s="17">
        <v>44431</v>
      </c>
    </row>
    <row r="26" spans="2:3">
      <c r="B26" s="7"/>
      <c r="C26" s="8">
        <v>44432</v>
      </c>
    </row>
    <row r="27" spans="2:3" ht="15.75" thickBot="1">
      <c r="B27" s="7"/>
      <c r="C27" s="8">
        <v>44433</v>
      </c>
    </row>
    <row r="28" spans="2:3">
      <c r="B28" s="16" t="s">
        <v>16</v>
      </c>
      <c r="C28" s="17">
        <v>44434</v>
      </c>
    </row>
    <row r="29" spans="2:3">
      <c r="B29" s="7"/>
      <c r="C29" s="8">
        <v>44435</v>
      </c>
    </row>
    <row r="30" spans="2:3" ht="15.75" thickBot="1">
      <c r="B30" s="9"/>
      <c r="C30" s="10">
        <v>44436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04A92-B51F-49EC-9AC4-E47CA88072D7}">
  <sheetPr codeName="Sheet6"/>
  <dimension ref="A2:E12"/>
  <sheetViews>
    <sheetView workbookViewId="0">
      <selection activeCell="D15" sqref="D15"/>
    </sheetView>
  </sheetViews>
  <sheetFormatPr defaultRowHeight="17.25" customHeight="1"/>
  <cols>
    <col min="1" max="1" width="10.85546875" style="2" customWidth="1"/>
    <col min="2" max="2" width="23.7109375" style="2" customWidth="1"/>
    <col min="3" max="3" width="27" style="2" customWidth="1"/>
    <col min="4" max="4" width="24.5703125" style="2" customWidth="1"/>
    <col min="5" max="5" width="29.7109375" style="2" customWidth="1"/>
    <col min="6" max="6" width="23" style="2" customWidth="1"/>
    <col min="7" max="7" width="20.85546875" style="2" customWidth="1"/>
    <col min="8" max="16384" width="9.140625" style="2"/>
  </cols>
  <sheetData>
    <row r="2" spans="1:5" ht="17.25" customHeight="1">
      <c r="D2" s="2">
        <v>9</v>
      </c>
    </row>
    <row r="3" spans="1:5" ht="17.25" customHeight="1">
      <c r="A3" s="102" t="s">
        <v>21</v>
      </c>
      <c r="B3" s="102" t="s">
        <v>56</v>
      </c>
      <c r="C3" s="2" t="s">
        <v>54</v>
      </c>
      <c r="D3" s="2" t="s">
        <v>55</v>
      </c>
      <c r="E3" s="102"/>
    </row>
    <row r="4" spans="1:5" ht="17.25" customHeight="1">
      <c r="A4" s="2">
        <v>1</v>
      </c>
      <c r="B4" s="105">
        <v>44537</v>
      </c>
      <c r="C4" s="102" t="s">
        <v>57</v>
      </c>
      <c r="D4" s="102" t="s">
        <v>37</v>
      </c>
    </row>
    <row r="5" spans="1:5" ht="17.25" customHeight="1">
      <c r="A5" s="2">
        <v>2</v>
      </c>
      <c r="B5" s="105">
        <v>44537</v>
      </c>
      <c r="C5" s="102" t="s">
        <v>57</v>
      </c>
      <c r="D5" s="102" t="s">
        <v>42</v>
      </c>
    </row>
    <row r="6" spans="1:5" ht="17.25" customHeight="1">
      <c r="A6" s="2">
        <v>3</v>
      </c>
      <c r="B6" s="105">
        <v>44537</v>
      </c>
      <c r="C6" s="102" t="s">
        <v>57</v>
      </c>
      <c r="D6" s="102" t="s">
        <v>58</v>
      </c>
    </row>
    <row r="7" spans="1:5" ht="17.25" customHeight="1">
      <c r="A7" s="2">
        <v>4</v>
      </c>
      <c r="B7" s="105">
        <v>44537</v>
      </c>
      <c r="C7" s="102" t="s">
        <v>57</v>
      </c>
      <c r="D7" s="102" t="s">
        <v>59</v>
      </c>
    </row>
    <row r="8" spans="1:5" ht="17.25" customHeight="1">
      <c r="A8" s="2">
        <v>5</v>
      </c>
      <c r="B8" s="105">
        <v>44537</v>
      </c>
      <c r="C8" s="102" t="s">
        <v>57</v>
      </c>
      <c r="D8" s="102" t="s">
        <v>60</v>
      </c>
    </row>
    <row r="9" spans="1:5" ht="17.25" customHeight="1">
      <c r="A9" s="2">
        <v>6</v>
      </c>
      <c r="B9" s="105">
        <v>44537</v>
      </c>
      <c r="C9" s="102" t="s">
        <v>57</v>
      </c>
      <c r="D9" s="102" t="s">
        <v>61</v>
      </c>
    </row>
    <row r="10" spans="1:5" ht="17.25" customHeight="1">
      <c r="A10" s="2">
        <v>7</v>
      </c>
      <c r="B10" s="105">
        <v>44537</v>
      </c>
      <c r="C10" s="102" t="s">
        <v>57</v>
      </c>
      <c r="D10" s="102" t="s">
        <v>62</v>
      </c>
    </row>
    <row r="11" spans="1:5" ht="17.25" customHeight="1">
      <c r="A11" s="2">
        <v>8</v>
      </c>
      <c r="B11" s="105">
        <v>44537</v>
      </c>
      <c r="C11" s="102" t="s">
        <v>57</v>
      </c>
      <c r="D11" s="102" t="s">
        <v>63</v>
      </c>
    </row>
    <row r="12" spans="1:5" ht="17.25" customHeight="1">
      <c r="A12" s="2">
        <v>9</v>
      </c>
      <c r="B12" s="105">
        <v>44537</v>
      </c>
      <c r="C12" s="102" t="s">
        <v>57</v>
      </c>
      <c r="D12" s="102" t="s">
        <v>64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RegisterVaccine</vt:lpstr>
      <vt:lpstr>Certificated</vt:lpstr>
      <vt:lpstr>StudentDatabase</vt:lpstr>
      <vt:lpstr>PKU_Form</vt:lpstr>
      <vt:lpstr>HEP Report</vt:lpstr>
      <vt:lpstr>UniversityDatabase</vt:lpstr>
      <vt:lpstr>VaccineDatabase</vt:lpstr>
      <vt:lpstr>serialNumber</vt:lpstr>
      <vt:lpstr>vacNo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nakasawa yamato</dc:creator>
  <cp:lastModifiedBy>nakasawa yamato</cp:lastModifiedBy>
  <dcterms:created xsi:type="dcterms:W3CDTF">2021-07-12T10:02:13Z</dcterms:created>
  <dcterms:modified xsi:type="dcterms:W3CDTF">2022-06-20T06:43:13Z</dcterms:modified>
</cp:coreProperties>
</file>